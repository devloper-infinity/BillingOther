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k\Desktop\"/>
    </mc:Choice>
  </mc:AlternateContent>
  <xr:revisionPtr revIDLastSave="0" documentId="13_ncr:1_{6108C1A9-545D-4C5E-95A3-1FD8C79FE4CE}" xr6:coauthVersionLast="47" xr6:coauthVersionMax="47" xr10:uidLastSave="{00000000-0000-0000-0000-000000000000}"/>
  <bookViews>
    <workbookView xWindow="-120" yWindow="-120" windowWidth="21840" windowHeight="13140" xr2:uid="{53FBB2C2-DF2D-414B-882F-9C068C8CF648}"/>
  </bookViews>
  <sheets>
    <sheet name="Sheet1" sheetId="1" r:id="rId1"/>
    <sheet name="Invoic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7" i="2" l="1"/>
  <c r="J8" i="2"/>
  <c r="J9" i="2"/>
  <c r="J10" i="2"/>
  <c r="J11" i="2"/>
  <c r="J12" i="2"/>
  <c r="J13" i="2"/>
  <c r="J14" i="2"/>
  <c r="J15" i="2"/>
  <c r="J16" i="2"/>
  <c r="J17" i="2"/>
  <c r="J6" i="2"/>
  <c r="J20" i="2" s="1"/>
</calcChain>
</file>

<file path=xl/sharedStrings.xml><?xml version="1.0" encoding="utf-8"?>
<sst xmlns="http://schemas.openxmlformats.org/spreadsheetml/2006/main" count="81" uniqueCount="47">
  <si>
    <t>Loan Number</t>
  </si>
  <si>
    <t>PRP ID</t>
  </si>
  <si>
    <t>Interim Servicer</t>
  </si>
  <si>
    <t>Borrower</t>
  </si>
  <si>
    <t>Property Address</t>
  </si>
  <si>
    <t>Property City</t>
  </si>
  <si>
    <t>Property State</t>
  </si>
  <si>
    <t>Property Zip</t>
  </si>
  <si>
    <t>Cut-off Date</t>
  </si>
  <si>
    <t>Origination Date</t>
  </si>
  <si>
    <t>Original Loan Amount</t>
  </si>
  <si>
    <t>Interest Bearing UPB</t>
  </si>
  <si>
    <t>Lien Position</t>
  </si>
  <si>
    <t>Paid Through Date</t>
  </si>
  <si>
    <t>Interest Rate</t>
  </si>
  <si>
    <t>Next Due Date</t>
  </si>
  <si>
    <t>Bid Percentage</t>
  </si>
  <si>
    <t>Px Adjustment – Sr Liens / DQ Taxes</t>
  </si>
  <si>
    <t>Px Adjustment - Other</t>
  </si>
  <si>
    <t>Purchase Price</t>
  </si>
  <si>
    <t>Purchase Price Percentage</t>
  </si>
  <si>
    <t>DSI</t>
  </si>
  <si>
    <t>Per Diem</t>
  </si>
  <si>
    <t>Days Interest</t>
  </si>
  <si>
    <t>Accrued Interest</t>
  </si>
  <si>
    <t>Total Wire</t>
  </si>
  <si>
    <t>27</t>
  </si>
  <si>
    <t>30</t>
  </si>
  <si>
    <t>31</t>
  </si>
  <si>
    <t>37</t>
  </si>
  <si>
    <t>38</t>
  </si>
  <si>
    <t>47</t>
  </si>
  <si>
    <t>49</t>
  </si>
  <si>
    <t>29</t>
  </si>
  <si>
    <t>45</t>
  </si>
  <si>
    <t>46</t>
  </si>
  <si>
    <t>41</t>
  </si>
  <si>
    <t>42</t>
  </si>
  <si>
    <t>Loan #.</t>
  </si>
  <si>
    <t xml:space="preserve">Trade Name </t>
  </si>
  <si>
    <t>Paying Entity</t>
  </si>
  <si>
    <t>Trade Name  &amp;  Paying Entity</t>
  </si>
  <si>
    <t>Advisory Fee</t>
  </si>
  <si>
    <t>BM-SC Series I Trust</t>
  </si>
  <si>
    <t>TOTAL BILLING AMOUNT</t>
  </si>
  <si>
    <t>North Bay Credit Union</t>
  </si>
  <si>
    <t>North Bay Credit Union - BM-SC Series I Trust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</si>
</sst>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8" formatCode="&quot;$&quot;#,##0.00_);[Red]\(&quot;$&quot;#,##0.00\)"/>
    <numFmt numFmtId="166" formatCode="&quot;$&quot;#,##0.00"/>
    <numFmt numFmtId="167" formatCode="###0;###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b/>
      <u/>
      <sz val="9"/>
      <color theme="1"/>
      <name val="Aptos Display"/>
      <family val="2"/>
    </font>
    <font>
      <sz val="9"/>
      <color rgb="FF000000"/>
      <name val="Aptos Display"/>
      <family val="2"/>
    </font>
    <font>
      <sz val="9"/>
      <color theme="1"/>
      <name val="Aptos Display"/>
      <family val="2"/>
    </font>
    <font>
      <b/>
      <sz val="9"/>
      <color rgb="FF000000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0" fillId="0" borderId="0" xfId="0" applyAlignment="1">
      <alignment horizontal="left" vertical="top"/>
    </xf>
    <xf numFmtId="0" fontId="3" fillId="0" borderId="2" xfId="1" applyFont="1" applyBorder="1" applyAlignment="1">
      <alignment horizontal="center" wrapText="1"/>
    </xf>
    <xf numFmtId="166" fontId="3" fillId="0" borderId="2" xfId="1" applyNumberFormat="1" applyFont="1" applyBorder="1" applyAlignment="1">
      <alignment horizontal="center" wrapText="1"/>
    </xf>
    <xf numFmtId="167" fontId="4" fillId="0" borderId="2" xfId="0" applyNumberFormat="1" applyFont="1" applyBorder="1" applyAlignment="1">
      <alignment horizontal="center" wrapText="1"/>
    </xf>
    <xf numFmtId="0" fontId="4" fillId="0" borderId="2" xfId="0" applyFont="1" applyBorder="1" applyAlignment="1">
      <alignment horizontal="center"/>
    </xf>
    <xf numFmtId="7" fontId="4" fillId="0" borderId="2" xfId="0" applyNumberFormat="1" applyFont="1" applyBorder="1" applyAlignment="1">
      <alignment horizontal="center"/>
    </xf>
    <xf numFmtId="8" fontId="5" fillId="0" borderId="2" xfId="0" applyNumberFormat="1" applyFont="1" applyBorder="1" applyAlignment="1">
      <alignment horizontal="center"/>
    </xf>
    <xf numFmtId="8" fontId="6" fillId="0" borderId="2" xfId="0" applyNumberFormat="1" applyFont="1" applyBorder="1" applyAlignment="1">
      <alignment horizontal="center"/>
    </xf>
    <xf numFmtId="7" fontId="5" fillId="0" borderId="2" xfId="1" applyNumberFormat="1" applyFont="1" applyBorder="1" applyAlignment="1">
      <alignment horizontal="center" wrapText="1"/>
    </xf>
    <xf numFmtId="0" fontId="6" fillId="0" borderId="2" xfId="0" applyFont="1" applyBorder="1" applyAlignment="1">
      <alignment horizontal="center"/>
    </xf>
  </cellXfs>
  <cellStyles count="2">
    <cellStyle name="Normal" xfId="0" builtinId="0"/>
    <cellStyle name="Normal 2" xfId="1" xr:uid="{80024864-3686-483E-9ADB-A85F46DFC4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E2A08-F7A2-43F2-9353-EDCB1E2FCADE}">
  <dimension ref="A1:Z1"/>
  <sheetViews>
    <sheetView tabSelected="1" workbookViewId="0"/>
  </sheetViews>
  <sheetFormatPr defaultRowHeight="15" x14ac:dyDescent="0.25"/>
  <cols>
    <col min="2" max="2" width="7" bestFit="1" customWidth="1"/>
    <col min="3" max="3" width="8.140625" bestFit="1" customWidth="1"/>
    <col min="4" max="4" width="24.85546875" bestFit="1" customWidth="1"/>
    <col min="5" max="5" width="21.85546875" bestFit="1" customWidth="1"/>
    <col min="6" max="6" width="21.7109375" bestFit="1" customWidth="1"/>
    <col min="9" max="10" width="10.140625" bestFit="1" customWidth="1"/>
    <col min="11" max="11" width="12" bestFit="1" customWidth="1"/>
    <col min="12" max="12" width="13.5703125" bestFit="1" customWidth="1"/>
    <col min="14" max="14" width="10.140625" bestFit="1" customWidth="1"/>
    <col min="16" max="16" width="10.140625" bestFit="1" customWidth="1"/>
    <col min="20" max="20" width="13.5703125" bestFit="1" customWidth="1"/>
    <col min="25" max="25" width="11" bestFit="1" customWidth="1"/>
    <col min="26" max="26" width="13.5703125" bestFit="1" customWidth="1"/>
  </cols>
  <sheetData>
    <row r="1" spans="1:26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3C8B0-5B60-4667-95C8-49C7DDDE0ED4}">
  <dimension ref="E5:J20"/>
  <sheetViews>
    <sheetView topLeftCell="D1" workbookViewId="0">
      <selection activeCell="H6" sqref="H6"/>
    </sheetView>
  </sheetViews>
  <sheetFormatPr defaultRowHeight="15" x14ac:dyDescent="0.25"/>
  <cols>
    <col min="1" max="4" width="9.140625" style="2"/>
    <col min="5" max="5" width="8.42578125" style="2" customWidth="1"/>
    <col min="6" max="6" width="20.28515625" style="2" customWidth="1"/>
    <col min="7" max="7" width="23.7109375" style="2" customWidth="1"/>
    <col min="8" max="8" width="40.140625" style="2" customWidth="1"/>
    <col min="9" max="9" width="14.5703125" style="2" customWidth="1"/>
    <col min="10" max="10" width="12.140625" style="2" customWidth="1"/>
    <col min="11" max="16384" width="9.140625" style="2"/>
  </cols>
  <sheetData>
    <row r="5" spans="5:10" ht="24" x14ac:dyDescent="0.2">
      <c r="E5" s="3" t="s">
        <v>38</v>
      </c>
      <c r="F5" s="3" t="s">
        <v>39</v>
      </c>
      <c r="G5" s="3" t="s">
        <v>40</v>
      </c>
      <c r="H5" s="3" t="s">
        <v>41</v>
      </c>
      <c r="I5" s="4" t="s">
        <v>11</v>
      </c>
      <c r="J5" s="3" t="s">
        <v>42</v>
      </c>
    </row>
    <row r="6" spans="5:10" x14ac:dyDescent="0.2">
      <c r="E6" s="6" t="s">
        <v>26</v>
      </c>
      <c r="F6" s="6" t="s">
        <v>45</v>
      </c>
      <c r="G6" s="6" t="s">
        <v>43</v>
      </c>
      <c r="H6" s="6" t="s">
        <v>46</v>
      </c>
      <c r="I6" s="7">
        <v>134785.79</v>
      </c>
      <c r="J6" s="10">
        <f>I6*0.1/100</f>
        <v>134.78579000000002</v>
      </c>
    </row>
    <row r="7" spans="5:10" x14ac:dyDescent="0.2">
      <c r="E7" s="6" t="s">
        <v>27</v>
      </c>
      <c r="F7" s="6" t="s">
        <v>45</v>
      </c>
      <c r="G7" s="6" t="s">
        <v>43</v>
      </c>
      <c r="H7" s="6" t="s">
        <v>46</v>
      </c>
      <c r="I7" s="7">
        <v>645395.74</v>
      </c>
      <c r="J7" s="10">
        <f t="shared" ref="J7:J17" si="0">I7*0.1/100</f>
        <v>645.39574000000005</v>
      </c>
    </row>
    <row r="8" spans="5:10" x14ac:dyDescent="0.2">
      <c r="E8" s="6" t="s">
        <v>28</v>
      </c>
      <c r="F8" s="6" t="s">
        <v>45</v>
      </c>
      <c r="G8" s="6" t="s">
        <v>43</v>
      </c>
      <c r="H8" s="6" t="s">
        <v>46</v>
      </c>
      <c r="I8" s="7">
        <v>105273.29</v>
      </c>
      <c r="J8" s="10">
        <f t="shared" si="0"/>
        <v>105.27329</v>
      </c>
    </row>
    <row r="9" spans="5:10" x14ac:dyDescent="0.2">
      <c r="E9" s="6" t="s">
        <v>29</v>
      </c>
      <c r="F9" s="6" t="s">
        <v>45</v>
      </c>
      <c r="G9" s="6" t="s">
        <v>43</v>
      </c>
      <c r="H9" s="6" t="s">
        <v>46</v>
      </c>
      <c r="I9" s="7">
        <v>169150.38</v>
      </c>
      <c r="J9" s="10">
        <f t="shared" si="0"/>
        <v>169.15038000000001</v>
      </c>
    </row>
    <row r="10" spans="5:10" x14ac:dyDescent="0.2">
      <c r="E10" s="6" t="s">
        <v>30</v>
      </c>
      <c r="F10" s="6" t="s">
        <v>45</v>
      </c>
      <c r="G10" s="6" t="s">
        <v>43</v>
      </c>
      <c r="H10" s="6" t="s">
        <v>46</v>
      </c>
      <c r="I10" s="7">
        <v>607892.29</v>
      </c>
      <c r="J10" s="10">
        <f t="shared" si="0"/>
        <v>607.89229000000012</v>
      </c>
    </row>
    <row r="11" spans="5:10" x14ac:dyDescent="0.2">
      <c r="E11" s="6" t="s">
        <v>31</v>
      </c>
      <c r="F11" s="6" t="s">
        <v>45</v>
      </c>
      <c r="G11" s="6" t="s">
        <v>43</v>
      </c>
      <c r="H11" s="6" t="s">
        <v>46</v>
      </c>
      <c r="I11" s="7">
        <v>171395.37</v>
      </c>
      <c r="J11" s="10">
        <f t="shared" si="0"/>
        <v>171.39537000000001</v>
      </c>
    </row>
    <row r="12" spans="5:10" x14ac:dyDescent="0.2">
      <c r="E12" s="6" t="s">
        <v>32</v>
      </c>
      <c r="F12" s="6" t="s">
        <v>45</v>
      </c>
      <c r="G12" s="6" t="s">
        <v>43</v>
      </c>
      <c r="H12" s="6" t="s">
        <v>46</v>
      </c>
      <c r="I12" s="7">
        <v>315148.96000000002</v>
      </c>
      <c r="J12" s="10">
        <f t="shared" si="0"/>
        <v>315.14896000000005</v>
      </c>
    </row>
    <row r="13" spans="5:10" x14ac:dyDescent="0.2">
      <c r="E13" s="6" t="s">
        <v>33</v>
      </c>
      <c r="F13" s="6" t="s">
        <v>45</v>
      </c>
      <c r="G13" s="6" t="s">
        <v>43</v>
      </c>
      <c r="H13" s="6" t="s">
        <v>46</v>
      </c>
      <c r="I13" s="7">
        <v>763099.74</v>
      </c>
      <c r="J13" s="10">
        <f t="shared" si="0"/>
        <v>763.09974</v>
      </c>
    </row>
    <row r="14" spans="5:10" x14ac:dyDescent="0.2">
      <c r="E14" s="6" t="s">
        <v>34</v>
      </c>
      <c r="F14" s="6" t="s">
        <v>45</v>
      </c>
      <c r="G14" s="6" t="s">
        <v>43</v>
      </c>
      <c r="H14" s="6" t="s">
        <v>46</v>
      </c>
      <c r="I14" s="7">
        <v>115745.74</v>
      </c>
      <c r="J14" s="10">
        <f t="shared" si="0"/>
        <v>115.74574000000001</v>
      </c>
    </row>
    <row r="15" spans="5:10" x14ac:dyDescent="0.2">
      <c r="E15" s="6" t="s">
        <v>35</v>
      </c>
      <c r="F15" s="6" t="s">
        <v>45</v>
      </c>
      <c r="G15" s="6" t="s">
        <v>43</v>
      </c>
      <c r="H15" s="6" t="s">
        <v>46</v>
      </c>
      <c r="I15" s="7">
        <v>562200.04</v>
      </c>
      <c r="J15" s="10">
        <f t="shared" si="0"/>
        <v>562.20004000000006</v>
      </c>
    </row>
    <row r="16" spans="5:10" x14ac:dyDescent="0.2">
      <c r="E16" s="6" t="s">
        <v>36</v>
      </c>
      <c r="F16" s="6" t="s">
        <v>45</v>
      </c>
      <c r="G16" s="6" t="s">
        <v>43</v>
      </c>
      <c r="H16" s="6" t="s">
        <v>46</v>
      </c>
      <c r="I16" s="7">
        <v>174503.41</v>
      </c>
      <c r="J16" s="10">
        <f t="shared" si="0"/>
        <v>174.50341</v>
      </c>
    </row>
    <row r="17" spans="5:10" x14ac:dyDescent="0.2">
      <c r="E17" s="6" t="s">
        <v>37</v>
      </c>
      <c r="F17" s="6" t="s">
        <v>45</v>
      </c>
      <c r="G17" s="6" t="s">
        <v>43</v>
      </c>
      <c r="H17" s="6" t="s">
        <v>46</v>
      </c>
      <c r="I17" s="7">
        <v>437011.94</v>
      </c>
      <c r="J17" s="10">
        <f t="shared" si="0"/>
        <v>437.01194000000004</v>
      </c>
    </row>
    <row r="18" spans="5:10" x14ac:dyDescent="0.2">
      <c r="E18" s="5"/>
      <c r="F18" s="6"/>
      <c r="G18" s="6"/>
      <c r="H18" s="6"/>
      <c r="I18" s="7"/>
      <c r="J18" s="8"/>
    </row>
    <row r="19" spans="5:10" x14ac:dyDescent="0.2">
      <c r="E19" s="6"/>
      <c r="F19" s="6"/>
      <c r="G19" s="6"/>
      <c r="H19" s="6"/>
      <c r="I19" s="6"/>
      <c r="J19" s="6"/>
    </row>
    <row r="20" spans="5:10" x14ac:dyDescent="0.2">
      <c r="E20" s="11" t="s">
        <v>44</v>
      </c>
      <c r="F20" s="11"/>
      <c r="G20" s="11"/>
      <c r="H20" s="11"/>
      <c r="I20" s="11"/>
      <c r="J20" s="9">
        <f>SUM(J6:J19)</f>
        <v>4201.6026900000006</v>
      </c>
    </row>
  </sheetData>
  <mergeCells count="1">
    <mergeCell ref="E20:I2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Invoice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MHASKE</dc:creator>
  <cp:lastModifiedBy>Nilkanth Nikam</cp:lastModifiedBy>
  <dcterms:created xsi:type="dcterms:W3CDTF">2025-01-17T19:02:36Z</dcterms:created>
  <dcterms:modified xsi:type="dcterms:W3CDTF">2025-02-24T10:18:58Z</dcterms:modified>
</cp:coreProperties>
</file>